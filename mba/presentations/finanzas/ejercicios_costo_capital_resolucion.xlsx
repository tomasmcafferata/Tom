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j_vai\OneDrive\Escritorio\Universidades\UCEMA\MBA\Finanzas Corporativas\"/>
    </mc:Choice>
  </mc:AlternateContent>
  <xr:revisionPtr revIDLastSave="0" documentId="13_ncr:1_{7C49A1C3-995E-4C2F-B36F-47EED14FD307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  <sheet name="Ejercicio 6" sheetId="6" r:id="rId6"/>
    <sheet name="Ejercicio 7" sheetId="7" r:id="rId7"/>
    <sheet name="Ejercicio 8" sheetId="8" r:id="rId8"/>
    <sheet name="Ejercicio 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9" l="1"/>
  <c r="B12" i="9"/>
  <c r="B8" i="9"/>
  <c r="B7" i="9"/>
  <c r="B5" i="9"/>
  <c r="B4" i="9"/>
  <c r="B7" i="8"/>
  <c r="B6" i="8"/>
  <c r="B5" i="8"/>
  <c r="B11" i="7"/>
  <c r="B9" i="7"/>
  <c r="B7" i="6"/>
  <c r="B1" i="6"/>
  <c r="B9" i="5"/>
  <c r="B8" i="5"/>
  <c r="B7" i="5"/>
  <c r="B6" i="4"/>
  <c r="B8" i="4" s="1"/>
  <c r="B4" i="4"/>
  <c r="C6" i="3"/>
  <c r="B4" i="3"/>
  <c r="B7" i="2"/>
  <c r="B6" i="2"/>
  <c r="B4" i="2"/>
  <c r="B4" i="1"/>
</calcChain>
</file>

<file path=xl/sharedStrings.xml><?xml version="1.0" encoding="utf-8"?>
<sst xmlns="http://schemas.openxmlformats.org/spreadsheetml/2006/main" count="103" uniqueCount="63">
  <si>
    <t>Beta</t>
  </si>
  <si>
    <t>RM</t>
  </si>
  <si>
    <t>Rf</t>
  </si>
  <si>
    <t>Ke</t>
  </si>
  <si>
    <t># acciones</t>
  </si>
  <si>
    <t>Valor Libro</t>
  </si>
  <si>
    <t>Valor de Mercado</t>
  </si>
  <si>
    <t>Equity (Mercado)</t>
  </si>
  <si>
    <t>Deuda (Mercado)</t>
  </si>
  <si>
    <t>Deuda Contable</t>
  </si>
  <si>
    <t>Wd</t>
  </si>
  <si>
    <t>Siempre tomar los valores de mercado!</t>
  </si>
  <si>
    <t>Recordar:</t>
  </si>
  <si>
    <t>Ke = Rf + Beta x (RM-Rf) según el modelo CAPM</t>
  </si>
  <si>
    <t>Es irrelevante que en total la deuda sea de $1.000.000, podemos trabajar con $1.000</t>
  </si>
  <si>
    <t>Si cotiza en $950, es el valor actual del pago</t>
  </si>
  <si>
    <t>Podemos calcular la TIR, para usarla como Kd</t>
  </si>
  <si>
    <t>TIR = KD</t>
  </si>
  <si>
    <t>VN por cada bono</t>
  </si>
  <si>
    <t>Implica que la firma emitió</t>
  </si>
  <si>
    <t># bonos</t>
  </si>
  <si>
    <t>Precio Bono</t>
  </si>
  <si>
    <t>Tax</t>
  </si>
  <si>
    <t>Kd</t>
  </si>
  <si>
    <t>Ke = Rf + Beta x (RM - Rf)</t>
  </si>
  <si>
    <t>We</t>
  </si>
  <si>
    <t>We = 1 - Wd</t>
  </si>
  <si>
    <t>Deben sumar siempre 100%</t>
  </si>
  <si>
    <t>WACC</t>
  </si>
  <si>
    <t>WACC = Wd.Kd.(1-tax) + We.Ke</t>
  </si>
  <si>
    <t>D/E</t>
  </si>
  <si>
    <t>Wd LP</t>
  </si>
  <si>
    <t>Wd CP</t>
  </si>
  <si>
    <t>En lugar de armar un WACC Deuda y Equity, tenemos un WACC con DLP, DCP y Equity</t>
  </si>
  <si>
    <t>Es decir, tres componentes</t>
  </si>
  <si>
    <t>Kd LP</t>
  </si>
  <si>
    <t>Kd CP</t>
  </si>
  <si>
    <t>Ke = Rf + Beta x (RM-Rf)</t>
  </si>
  <si>
    <t>WACC = Wdlp.KdLP.(1-tax) + Wdcp.Kdcp.(1-tax) + We.Ke</t>
  </si>
  <si>
    <t>Hay que colocar el efecto Escudo Fiscal (1-tax) sobre ambas expresiones</t>
  </si>
  <si>
    <t>relacionadas a deuda</t>
  </si>
  <si>
    <t>TIR proyecto</t>
  </si>
  <si>
    <t>Como el proyecto rinde más de lo que se le exige al capital invertido (es decir, su WACC), es conveniente realizarlo</t>
  </si>
  <si>
    <t>tax</t>
  </si>
  <si>
    <t>Se debe desarmar el WACC para calcular el Ke</t>
  </si>
  <si>
    <t>Ojo: Tener un D/E de 0,5 implica que, por cada $1 de capital propio, hay $0,5 de deuda</t>
  </si>
  <si>
    <t>Eso implica que el total de la Estructura de Capital es $1,5. De esta forma, hay $0,5/$1,5 como proporción Deuda/Total</t>
  </si>
  <si>
    <t>Es el ratio D/E, no el Wd</t>
  </si>
  <si>
    <t>wd.kd.(1-tax) + we.ke</t>
  </si>
  <si>
    <t>(WACC - wd.kd.(1-tax))/we</t>
  </si>
  <si>
    <t>Entonces</t>
  </si>
  <si>
    <t>Ejercicio para utilizar modelo CAPM para estimar costo de oportunidad del accionista</t>
  </si>
  <si>
    <t>Deuda Operativa</t>
  </si>
  <si>
    <t>Atención: NO ES DEUDA FINANCIERA, NO SE LA CONSIDERA PARA EL CÁLCULO DEL WACC DADO QUE NO DEVENGA INTERESES (NO HAY PRÉSTAMO DE DINERO)</t>
  </si>
  <si>
    <t>Deuda Financiera Corto Plazo</t>
  </si>
  <si>
    <t>Pasivo No corriente</t>
  </si>
  <si>
    <t>Suponemos que es toda DEUDA FINANCIERA DE LARGO PLAZO</t>
  </si>
  <si>
    <t>Deuda Financiera Total</t>
  </si>
  <si>
    <t>(RM-Rf)</t>
  </si>
  <si>
    <t>Ojo! Si dice "prima de riesgo" ya nos da el paréntesis, no nos dio RM</t>
  </si>
  <si>
    <t>Wd = Deuda Financiera / (Deuda Financiera + Equity)</t>
  </si>
  <si>
    <t>Ke = Rf + beta x (prima de riesgo)</t>
  </si>
  <si>
    <t>Deuda Financiera CP + Pasivo No Corriente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</si>
</sst>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0.0%"/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3" borderId="0" xfId="0" applyFill="1" applyAlignment="1">
      <alignment horizontal="center"/>
    </xf>
    <xf numFmtId="6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44" fontId="0" fillId="3" borderId="0" xfId="1" applyFont="1" applyFill="1" applyAlignment="1">
      <alignment horizontal="center"/>
    </xf>
    <xf numFmtId="165" fontId="0" fillId="2" borderId="2" xfId="2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3" borderId="0" xfId="1" applyFont="1" applyFill="1"/>
    <xf numFmtId="0" fontId="0" fillId="2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3" borderId="4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9" fontId="0" fillId="3" borderId="7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9" fontId="0" fillId="3" borderId="9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9" fontId="0" fillId="2" borderId="2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0" fillId="2" borderId="2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2" xfId="0" applyNumberFormat="1" applyFill="1" applyBorder="1" applyAlignment="1">
      <alignment horizontal="center"/>
    </xf>
    <xf numFmtId="10" fontId="0" fillId="3" borderId="7" xfId="0" applyNumberFormat="1" applyFill="1" applyBorder="1" applyAlignment="1">
      <alignment horizontal="center"/>
    </xf>
    <xf numFmtId="44" fontId="0" fillId="3" borderId="5" xfId="1" applyFont="1" applyFill="1" applyBorder="1" applyAlignment="1">
      <alignment horizontal="center"/>
    </xf>
    <xf numFmtId="6" fontId="0" fillId="3" borderId="7" xfId="0" applyNumberFormat="1" applyFill="1" applyBorder="1" applyAlignment="1">
      <alignment horizontal="center"/>
    </xf>
    <xf numFmtId="44" fontId="0" fillId="3" borderId="7" xfId="1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2" xfId="2" applyNumberFormat="1" applyFont="1" applyFill="1" applyBorder="1" applyAlignment="1">
      <alignment horizontal="center"/>
    </xf>
    <xf numFmtId="10" fontId="0" fillId="2" borderId="7" xfId="2" applyNumberFormat="1" applyFont="1" applyFill="1" applyBorder="1" applyAlignment="1">
      <alignment horizontal="center"/>
    </xf>
    <xf numFmtId="10" fontId="0" fillId="3" borderId="7" xfId="2" applyNumberFormat="1" applyFont="1" applyFill="1" applyBorder="1" applyAlignment="1">
      <alignment horizontal="center"/>
    </xf>
    <xf numFmtId="6" fontId="0" fillId="2" borderId="7" xfId="0" applyNumberForma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4</xdr:row>
      <xdr:rowOff>9525</xdr:rowOff>
    </xdr:from>
    <xdr:to>
      <xdr:col>4</xdr:col>
      <xdr:colOff>381000</xdr:colOff>
      <xdr:row>4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779CDB5-0FF3-8BA0-A02F-8EAE0D1D255F}"/>
            </a:ext>
          </a:extLst>
        </xdr:cNvPr>
        <xdr:cNvCxnSpPr/>
      </xdr:nvCxnSpPr>
      <xdr:spPr>
        <a:xfrm flipH="1">
          <a:off x="1447800" y="771525"/>
          <a:ext cx="1981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2" sqref="D2"/>
    </sheetView>
  </sheetViews>
  <sheetFormatPr baseColWidth="10" defaultColWidth="9.140625" defaultRowHeight="15" x14ac:dyDescent="0.25"/>
  <sheetData>
    <row r="1" spans="1:4" x14ac:dyDescent="0.25">
      <c r="A1" s="16" t="s">
        <v>0</v>
      </c>
      <c r="B1" s="29">
        <v>0.9</v>
      </c>
      <c r="D1" t="s">
        <v>51</v>
      </c>
    </row>
    <row r="2" spans="1:4" x14ac:dyDescent="0.25">
      <c r="A2" s="18" t="s">
        <v>1</v>
      </c>
      <c r="B2" s="19">
        <v>0.15</v>
      </c>
    </row>
    <row r="3" spans="1:4" ht="15.75" thickBot="1" x14ac:dyDescent="0.3">
      <c r="A3" s="20" t="s">
        <v>2</v>
      </c>
      <c r="B3" s="21">
        <v>7.0000000000000007E-2</v>
      </c>
      <c r="D3" t="s">
        <v>12</v>
      </c>
    </row>
    <row r="4" spans="1:4" ht="15.75" thickBot="1" x14ac:dyDescent="0.3">
      <c r="A4" s="2" t="s">
        <v>3</v>
      </c>
      <c r="B4" s="3">
        <f>B3+B1*(B2-B3)</f>
        <v>0.14200000000000002</v>
      </c>
      <c r="D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8668-BCEB-42D5-B234-905B076EA848}">
  <dimension ref="A1:D7"/>
  <sheetViews>
    <sheetView workbookViewId="0">
      <selection activeCell="B13" sqref="B13"/>
    </sheetView>
  </sheetViews>
  <sheetFormatPr baseColWidth="10" defaultRowHeight="15" x14ac:dyDescent="0.25"/>
  <cols>
    <col min="1" max="1" width="16.7109375" bestFit="1" customWidth="1"/>
    <col min="2" max="2" width="14.5703125" bestFit="1" customWidth="1"/>
  </cols>
  <sheetData>
    <row r="1" spans="1:4" x14ac:dyDescent="0.25">
      <c r="A1" s="7" t="s">
        <v>4</v>
      </c>
      <c r="B1" s="7">
        <v>2000000</v>
      </c>
    </row>
    <row r="2" spans="1:4" x14ac:dyDescent="0.25">
      <c r="A2" s="7" t="s">
        <v>5</v>
      </c>
      <c r="B2" s="8">
        <v>2</v>
      </c>
    </row>
    <row r="3" spans="1:4" x14ac:dyDescent="0.25">
      <c r="A3" s="7" t="s">
        <v>6</v>
      </c>
      <c r="B3" s="9">
        <v>2.5</v>
      </c>
    </row>
    <row r="4" spans="1:4" x14ac:dyDescent="0.25">
      <c r="A4" s="7" t="s">
        <v>7</v>
      </c>
      <c r="B4" s="9">
        <f>B1*B3</f>
        <v>5000000</v>
      </c>
      <c r="D4" t="s">
        <v>11</v>
      </c>
    </row>
    <row r="5" spans="1:4" x14ac:dyDescent="0.25">
      <c r="A5" s="7" t="s">
        <v>9</v>
      </c>
      <c r="B5" s="8">
        <v>1000000</v>
      </c>
    </row>
    <row r="6" spans="1:4" ht="15.75" thickBot="1" x14ac:dyDescent="0.3">
      <c r="A6" s="7" t="s">
        <v>8</v>
      </c>
      <c r="B6" s="10">
        <f>B5*1.2</f>
        <v>1200000</v>
      </c>
    </row>
    <row r="7" spans="1:4" ht="15.75" thickBot="1" x14ac:dyDescent="0.3">
      <c r="A7" s="2" t="s">
        <v>10</v>
      </c>
      <c r="B7" s="11">
        <f>B6/(B4+B6)</f>
        <v>0.19354838709677419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306E-D344-44DD-88E3-38A82F9FE9B5}">
  <dimension ref="A1:G6"/>
  <sheetViews>
    <sheetView workbookViewId="0">
      <selection activeCell="B6" sqref="B6:C6"/>
    </sheetView>
  </sheetViews>
  <sheetFormatPr baseColWidth="10" defaultRowHeight="15" x14ac:dyDescent="0.25"/>
  <sheetData>
    <row r="1" spans="1:7" x14ac:dyDescent="0.25">
      <c r="A1" t="s">
        <v>14</v>
      </c>
    </row>
    <row r="3" spans="1:7" x14ac:dyDescent="0.25">
      <c r="B3" s="12">
        <v>0</v>
      </c>
      <c r="C3" s="12"/>
      <c r="D3" s="12"/>
      <c r="E3" s="12">
        <v>1</v>
      </c>
    </row>
    <row r="4" spans="1:7" x14ac:dyDescent="0.25">
      <c r="B4" s="13">
        <f>0.95*E4</f>
        <v>950</v>
      </c>
      <c r="C4" s="13"/>
      <c r="D4" s="13"/>
      <c r="E4" s="13">
        <v>1000</v>
      </c>
      <c r="G4" t="s">
        <v>15</v>
      </c>
    </row>
    <row r="5" spans="1:7" ht="15.75" thickBot="1" x14ac:dyDescent="0.3">
      <c r="G5" t="s">
        <v>16</v>
      </c>
    </row>
    <row r="6" spans="1:7" ht="15.75" thickBot="1" x14ac:dyDescent="0.3">
      <c r="B6" s="2" t="s">
        <v>17</v>
      </c>
      <c r="C6" s="11">
        <f>E4/B4-1</f>
        <v>5.2631578947368363E-2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139B-D29E-4740-BB71-0842BCAA647A}">
  <dimension ref="A1:B8"/>
  <sheetViews>
    <sheetView workbookViewId="0">
      <selection activeCell="F25" sqref="F25"/>
    </sheetView>
  </sheetViews>
  <sheetFormatPr baseColWidth="10" defaultRowHeight="15" x14ac:dyDescent="0.25"/>
  <cols>
    <col min="1" max="1" width="16.7109375" bestFit="1" customWidth="1"/>
    <col min="2" max="2" width="15.5703125" bestFit="1" customWidth="1"/>
  </cols>
  <sheetData>
    <row r="1" spans="1:2" x14ac:dyDescent="0.25">
      <c r="A1" s="1" t="s">
        <v>9</v>
      </c>
      <c r="B1" s="6">
        <v>20000000</v>
      </c>
    </row>
    <row r="2" spans="1:2" x14ac:dyDescent="0.25">
      <c r="A2" s="1" t="s">
        <v>18</v>
      </c>
      <c r="B2" s="6">
        <v>1000</v>
      </c>
    </row>
    <row r="3" spans="1:2" x14ac:dyDescent="0.25">
      <c r="A3" s="1" t="s">
        <v>19</v>
      </c>
      <c r="B3" s="1"/>
    </row>
    <row r="4" spans="1:2" x14ac:dyDescent="0.25">
      <c r="A4" s="1" t="s">
        <v>20</v>
      </c>
      <c r="B4" s="1">
        <f>B1/B2</f>
        <v>20000</v>
      </c>
    </row>
    <row r="5" spans="1:2" x14ac:dyDescent="0.25">
      <c r="A5" s="1" t="s">
        <v>21</v>
      </c>
      <c r="B5" s="5">
        <v>877.1</v>
      </c>
    </row>
    <row r="6" spans="1:2" x14ac:dyDescent="0.25">
      <c r="A6" s="1" t="s">
        <v>8</v>
      </c>
      <c r="B6" s="5">
        <f>B5*B4</f>
        <v>17542000</v>
      </c>
    </row>
    <row r="7" spans="1:2" ht="15.75" thickBot="1" x14ac:dyDescent="0.3">
      <c r="A7" s="1" t="s">
        <v>7</v>
      </c>
      <c r="B7" s="4">
        <v>45000000</v>
      </c>
    </row>
    <row r="8" spans="1:2" ht="15.75" thickBot="1" x14ac:dyDescent="0.3">
      <c r="A8" s="2" t="s">
        <v>10</v>
      </c>
      <c r="B8" s="11">
        <f>B6/(SUM(B6:B7))</f>
        <v>0.28048351507786767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3132-811F-4072-A46A-3961C6AF9138}">
  <dimension ref="A1:D9"/>
  <sheetViews>
    <sheetView workbookViewId="0">
      <selection activeCell="C13" sqref="C13"/>
    </sheetView>
  </sheetViews>
  <sheetFormatPr baseColWidth="10" defaultRowHeight="15" x14ac:dyDescent="0.25"/>
  <sheetData>
    <row r="1" spans="1:4" x14ac:dyDescent="0.25">
      <c r="A1" s="7" t="s">
        <v>0</v>
      </c>
      <c r="B1" s="7">
        <v>1.45</v>
      </c>
    </row>
    <row r="2" spans="1:4" x14ac:dyDescent="0.25">
      <c r="A2" s="7" t="s">
        <v>2</v>
      </c>
      <c r="B2" s="15">
        <v>0.05</v>
      </c>
    </row>
    <row r="3" spans="1:4" x14ac:dyDescent="0.25">
      <c r="A3" s="7" t="s">
        <v>1</v>
      </c>
      <c r="B3" s="15">
        <v>0.14000000000000001</v>
      </c>
    </row>
    <row r="4" spans="1:4" x14ac:dyDescent="0.25">
      <c r="A4" s="7" t="s">
        <v>22</v>
      </c>
      <c r="B4" s="15">
        <v>0.35</v>
      </c>
    </row>
    <row r="5" spans="1:4" x14ac:dyDescent="0.25">
      <c r="A5" s="7" t="s">
        <v>10</v>
      </c>
      <c r="B5" s="15">
        <v>0.3</v>
      </c>
    </row>
    <row r="6" spans="1:4" ht="15.75" thickBot="1" x14ac:dyDescent="0.3">
      <c r="A6" s="7" t="s">
        <v>23</v>
      </c>
      <c r="B6" s="15">
        <v>0.09</v>
      </c>
    </row>
    <row r="7" spans="1:4" x14ac:dyDescent="0.25">
      <c r="A7" s="22" t="s">
        <v>3</v>
      </c>
      <c r="B7" s="23">
        <f>B2+B1*(B3-B2)</f>
        <v>0.18049999999999999</v>
      </c>
      <c r="C7" t="s">
        <v>24</v>
      </c>
    </row>
    <row r="8" spans="1:4" ht="15.75" thickBot="1" x14ac:dyDescent="0.3">
      <c r="A8" s="24" t="s">
        <v>25</v>
      </c>
      <c r="B8" s="25">
        <f>1-B5</f>
        <v>0.7</v>
      </c>
      <c r="C8" t="s">
        <v>26</v>
      </c>
      <c r="D8" t="s">
        <v>27</v>
      </c>
    </row>
    <row r="9" spans="1:4" ht="15.75" thickBot="1" x14ac:dyDescent="0.3">
      <c r="A9" s="2" t="s">
        <v>28</v>
      </c>
      <c r="B9" s="26">
        <f>B5*B6*(1-B4)+B8*B7</f>
        <v>0.1439</v>
      </c>
      <c r="C9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6704-A0A2-4D95-BE2C-610138FA7561}">
  <dimension ref="A1:B7"/>
  <sheetViews>
    <sheetView workbookViewId="0">
      <selection activeCell="D7" sqref="D7"/>
    </sheetView>
  </sheetViews>
  <sheetFormatPr baseColWidth="10" defaultRowHeight="15" x14ac:dyDescent="0.25"/>
  <sheetData>
    <row r="1" spans="1:2" x14ac:dyDescent="0.25">
      <c r="A1" s="16" t="s">
        <v>30</v>
      </c>
      <c r="B1" s="29">
        <f>0.4/0.6</f>
        <v>0.66666666666666674</v>
      </c>
    </row>
    <row r="2" spans="1:2" x14ac:dyDescent="0.25">
      <c r="A2" s="18" t="s">
        <v>10</v>
      </c>
      <c r="B2" s="19">
        <v>0.4</v>
      </c>
    </row>
    <row r="3" spans="1:2" x14ac:dyDescent="0.25">
      <c r="A3" s="18" t="s">
        <v>25</v>
      </c>
      <c r="B3" s="19">
        <v>0.6</v>
      </c>
    </row>
    <row r="4" spans="1:2" x14ac:dyDescent="0.25">
      <c r="A4" s="18" t="s">
        <v>23</v>
      </c>
      <c r="B4" s="19">
        <v>0.08</v>
      </c>
    </row>
    <row r="5" spans="1:2" x14ac:dyDescent="0.25">
      <c r="A5" s="18" t="s">
        <v>3</v>
      </c>
      <c r="B5" s="19">
        <v>0.15</v>
      </c>
    </row>
    <row r="6" spans="1:2" ht="15.75" thickBot="1" x14ac:dyDescent="0.3">
      <c r="A6" s="20" t="s">
        <v>22</v>
      </c>
      <c r="B6" s="21">
        <v>0.4</v>
      </c>
    </row>
    <row r="7" spans="1:2" ht="15.75" thickBot="1" x14ac:dyDescent="0.3">
      <c r="A7" s="27" t="s">
        <v>28</v>
      </c>
      <c r="B7" s="28">
        <f>B2*B4*(1-B6)+B3*B5</f>
        <v>0.10919999999999999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F4D7-52CC-48F0-B0D1-DAE1B8F3FA58}">
  <dimension ref="A1:I14"/>
  <sheetViews>
    <sheetView tabSelected="1" workbookViewId="0">
      <selection activeCell="F18" sqref="F18"/>
    </sheetView>
  </sheetViews>
  <sheetFormatPr baseColWidth="10" defaultRowHeight="15" x14ac:dyDescent="0.25"/>
  <sheetData>
    <row r="1" spans="1:9" x14ac:dyDescent="0.25">
      <c r="A1" s="16" t="s">
        <v>31</v>
      </c>
      <c r="B1" s="17">
        <v>0.35</v>
      </c>
    </row>
    <row r="2" spans="1:9" x14ac:dyDescent="0.25">
      <c r="A2" s="18" t="s">
        <v>32</v>
      </c>
      <c r="B2" s="19">
        <v>0.25</v>
      </c>
      <c r="D2" t="s">
        <v>33</v>
      </c>
    </row>
    <row r="3" spans="1:9" x14ac:dyDescent="0.25">
      <c r="A3" s="18" t="s">
        <v>25</v>
      </c>
      <c r="B3" s="19">
        <v>0.4</v>
      </c>
      <c r="D3" t="s">
        <v>34</v>
      </c>
    </row>
    <row r="4" spans="1:9" x14ac:dyDescent="0.25">
      <c r="A4" s="18" t="s">
        <v>35</v>
      </c>
      <c r="B4" s="19">
        <v>0.1</v>
      </c>
    </row>
    <row r="5" spans="1:9" x14ac:dyDescent="0.25">
      <c r="A5" s="18" t="s">
        <v>36</v>
      </c>
      <c r="B5" s="19">
        <v>0.08</v>
      </c>
    </row>
    <row r="6" spans="1:9" x14ac:dyDescent="0.25">
      <c r="A6" s="18" t="s">
        <v>2</v>
      </c>
      <c r="B6" s="19">
        <v>0.05</v>
      </c>
    </row>
    <row r="7" spans="1:9" x14ac:dyDescent="0.25">
      <c r="A7" s="18" t="s">
        <v>1</v>
      </c>
      <c r="B7" s="19">
        <v>0.08</v>
      </c>
    </row>
    <row r="8" spans="1:9" ht="15.75" thickBot="1" x14ac:dyDescent="0.3">
      <c r="A8" s="20" t="s">
        <v>0</v>
      </c>
      <c r="B8" s="31">
        <v>0.9</v>
      </c>
    </row>
    <row r="9" spans="1:9" ht="15.75" thickBot="1" x14ac:dyDescent="0.3">
      <c r="A9" s="2" t="s">
        <v>3</v>
      </c>
      <c r="B9" s="30">
        <f>B6+B8*(B7-B6)</f>
        <v>7.6999999999999999E-2</v>
      </c>
      <c r="D9" t="s">
        <v>37</v>
      </c>
    </row>
    <row r="10" spans="1:9" ht="15.75" thickBot="1" x14ac:dyDescent="0.3">
      <c r="A10" s="34" t="s">
        <v>22</v>
      </c>
      <c r="B10" s="35">
        <v>0.4</v>
      </c>
    </row>
    <row r="11" spans="1:9" ht="15.75" thickBot="1" x14ac:dyDescent="0.3">
      <c r="A11" s="2" t="s">
        <v>28</v>
      </c>
      <c r="B11" s="30">
        <f>B1*B4*(1-B10)+B2*B5*(1-B10)+B3*B9</f>
        <v>6.3799999999999996E-2</v>
      </c>
      <c r="D11" t="s">
        <v>38</v>
      </c>
      <c r="I11" t="s">
        <v>39</v>
      </c>
    </row>
    <row r="12" spans="1:9" ht="15.75" thickBot="1" x14ac:dyDescent="0.3">
      <c r="A12" s="32" t="s">
        <v>41</v>
      </c>
      <c r="B12" s="33">
        <v>0.12</v>
      </c>
      <c r="I12" t="s">
        <v>40</v>
      </c>
    </row>
    <row r="14" spans="1:9" x14ac:dyDescent="0.25">
      <c r="C14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C646-0C0B-4DDC-9339-C2AD5F10F34F}">
  <dimension ref="A1:E9"/>
  <sheetViews>
    <sheetView workbookViewId="0">
      <selection activeCell="D17" sqref="D17"/>
    </sheetView>
  </sheetViews>
  <sheetFormatPr baseColWidth="10" defaultRowHeight="15" x14ac:dyDescent="0.25"/>
  <sheetData>
    <row r="1" spans="1:5" x14ac:dyDescent="0.25">
      <c r="A1" s="16" t="s">
        <v>28</v>
      </c>
      <c r="B1" s="17">
        <v>0.15</v>
      </c>
      <c r="D1" t="s">
        <v>44</v>
      </c>
    </row>
    <row r="2" spans="1:5" x14ac:dyDescent="0.25">
      <c r="A2" s="18" t="s">
        <v>23</v>
      </c>
      <c r="B2" s="36">
        <v>7.6999999999999999E-2</v>
      </c>
    </row>
    <row r="3" spans="1:5" x14ac:dyDescent="0.25">
      <c r="A3" s="18" t="s">
        <v>43</v>
      </c>
      <c r="B3" s="19">
        <v>0.4</v>
      </c>
    </row>
    <row r="4" spans="1:5" x14ac:dyDescent="0.25">
      <c r="A4" s="18" t="s">
        <v>30</v>
      </c>
      <c r="B4" s="19">
        <v>0.5</v>
      </c>
      <c r="D4" t="s">
        <v>47</v>
      </c>
    </row>
    <row r="5" spans="1:5" x14ac:dyDescent="0.25">
      <c r="A5" s="18" t="s">
        <v>10</v>
      </c>
      <c r="B5" s="19">
        <f>B4/(1+B4)</f>
        <v>0.33333333333333331</v>
      </c>
      <c r="D5" t="s">
        <v>45</v>
      </c>
    </row>
    <row r="6" spans="1:5" ht="15.75" thickBot="1" x14ac:dyDescent="0.3">
      <c r="A6" s="20" t="s">
        <v>25</v>
      </c>
      <c r="B6" s="21">
        <f>1-B5</f>
        <v>0.66666666666666674</v>
      </c>
      <c r="D6" t="s">
        <v>46</v>
      </c>
    </row>
    <row r="7" spans="1:5" ht="15.75" thickBot="1" x14ac:dyDescent="0.3">
      <c r="A7" s="2" t="s">
        <v>3</v>
      </c>
      <c r="B7" s="28">
        <f>(B1-B5*B2*(1-B3))/B6</f>
        <v>0.20189999999999997</v>
      </c>
    </row>
    <row r="8" spans="1:5" x14ac:dyDescent="0.25">
      <c r="D8" t="s">
        <v>28</v>
      </c>
      <c r="E8" t="s">
        <v>48</v>
      </c>
    </row>
    <row r="9" spans="1:5" x14ac:dyDescent="0.25">
      <c r="C9" t="s">
        <v>50</v>
      </c>
      <c r="D9" t="s">
        <v>3</v>
      </c>
      <c r="E9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DC7A-DBBE-4534-8F29-9F77D509C08A}">
  <dimension ref="A1:C14"/>
  <sheetViews>
    <sheetView workbookViewId="0">
      <selection activeCell="D18" sqref="D18"/>
    </sheetView>
  </sheetViews>
  <sheetFormatPr baseColWidth="10" defaultRowHeight="15" x14ac:dyDescent="0.25"/>
  <cols>
    <col min="1" max="1" width="27.140625" bestFit="1" customWidth="1"/>
    <col min="2" max="2" width="14.5703125" bestFit="1" customWidth="1"/>
  </cols>
  <sheetData>
    <row r="1" spans="1:3" x14ac:dyDescent="0.25">
      <c r="A1" s="16" t="s">
        <v>52</v>
      </c>
      <c r="B1" s="37">
        <v>20000</v>
      </c>
      <c r="C1" t="s">
        <v>53</v>
      </c>
    </row>
    <row r="2" spans="1:3" x14ac:dyDescent="0.25">
      <c r="A2" s="18" t="s">
        <v>54</v>
      </c>
      <c r="B2" s="38">
        <v>166000</v>
      </c>
    </row>
    <row r="3" spans="1:3" x14ac:dyDescent="0.25">
      <c r="A3" s="18" t="s">
        <v>55</v>
      </c>
      <c r="B3" s="39">
        <v>560000</v>
      </c>
      <c r="C3" t="s">
        <v>56</v>
      </c>
    </row>
    <row r="4" spans="1:3" x14ac:dyDescent="0.25">
      <c r="A4" s="24" t="s">
        <v>57</v>
      </c>
      <c r="B4" s="46">
        <f>B2+B3</f>
        <v>726000</v>
      </c>
      <c r="C4" t="s">
        <v>62</v>
      </c>
    </row>
    <row r="5" spans="1:3" x14ac:dyDescent="0.25">
      <c r="A5" s="18" t="s">
        <v>23</v>
      </c>
      <c r="B5" s="45">
        <f>8.26446%</f>
        <v>8.2644599999999999E-2</v>
      </c>
    </row>
    <row r="6" spans="1:3" x14ac:dyDescent="0.25">
      <c r="A6" s="18" t="s">
        <v>7</v>
      </c>
      <c r="B6" s="39">
        <v>1882634.44</v>
      </c>
    </row>
    <row r="7" spans="1:3" x14ac:dyDescent="0.25">
      <c r="A7" s="24" t="s">
        <v>10</v>
      </c>
      <c r="B7" s="44">
        <f>B4/(B4+B6)</f>
        <v>0.27830653036996628</v>
      </c>
      <c r="C7" t="s">
        <v>60</v>
      </c>
    </row>
    <row r="8" spans="1:3" x14ac:dyDescent="0.25">
      <c r="A8" s="24" t="s">
        <v>25</v>
      </c>
      <c r="B8" s="44">
        <f>1-B7</f>
        <v>0.72169346963003367</v>
      </c>
      <c r="C8" t="s">
        <v>26</v>
      </c>
    </row>
    <row r="9" spans="1:3" x14ac:dyDescent="0.25">
      <c r="A9" s="18" t="s">
        <v>2</v>
      </c>
      <c r="B9" s="19">
        <v>0.02</v>
      </c>
    </row>
    <row r="10" spans="1:3" x14ac:dyDescent="0.25">
      <c r="A10" s="18" t="s">
        <v>58</v>
      </c>
      <c r="B10" s="19">
        <v>0.08</v>
      </c>
      <c r="C10" t="s">
        <v>59</v>
      </c>
    </row>
    <row r="11" spans="1:3" ht="15.75" thickBot="1" x14ac:dyDescent="0.3">
      <c r="A11" s="20" t="s">
        <v>0</v>
      </c>
      <c r="B11" s="40">
        <v>1.1000000000000001</v>
      </c>
    </row>
    <row r="12" spans="1:3" ht="15.75" thickBot="1" x14ac:dyDescent="0.3">
      <c r="A12" s="14" t="s">
        <v>3</v>
      </c>
      <c r="B12" s="41">
        <f>B9+B11*B10</f>
        <v>0.10800000000000001</v>
      </c>
      <c r="C12" t="s">
        <v>61</v>
      </c>
    </row>
    <row r="13" spans="1:3" ht="15.75" thickBot="1" x14ac:dyDescent="0.3">
      <c r="A13" s="16" t="s">
        <v>22</v>
      </c>
      <c r="B13" s="17">
        <v>0.35</v>
      </c>
    </row>
    <row r="14" spans="1:3" ht="15.75" thickBot="1" x14ac:dyDescent="0.3">
      <c r="A14" s="42" t="s">
        <v>28</v>
      </c>
      <c r="B14" s="43">
        <f>B7*B5*(1-B13)+B8*B12</f>
        <v>9.289324044192257E-2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  <vt:lpstr>Ejercicio 8</vt:lpstr>
      <vt:lpstr>Ejercicio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Vaisman</dc:creator>
  <cp:lastModifiedBy>VAISMAN JOEL</cp:lastModifiedBy>
  <dcterms:created xsi:type="dcterms:W3CDTF">2015-06-05T18:19:34Z</dcterms:created>
  <dcterms:modified xsi:type="dcterms:W3CDTF">2024-04-14T22:43:40Z</dcterms:modified>
</cp:coreProperties>
</file>