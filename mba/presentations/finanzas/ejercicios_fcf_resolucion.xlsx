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j_vai\OneDrive\Escritorio\Universidades\UCEMA\MBA\Finanzas Corporativas\"/>
    </mc:Choice>
  </mc:AlternateContent>
  <xr:revisionPtr revIDLastSave="0" documentId="13_ncr:1_{D3629852-36BF-4336-A57A-AE7ACA91432E}" xr6:coauthVersionLast="47" xr6:coauthVersionMax="47" xr10:uidLastSave="{00000000-0000-0000-0000-000000000000}"/>
  <bookViews>
    <workbookView xWindow="-120" yWindow="-120" windowWidth="20730" windowHeight="11040" firstSheet="5" activeTab="6" xr2:uid="{00000000-000D-0000-FFFF-FFFF00000000}"/>
  </bookViews>
  <sheets>
    <sheet name="Ejercicio 1" sheetId="1" r:id="rId1"/>
    <sheet name="Ejercicio 2" sheetId="2" r:id="rId2"/>
    <sheet name="Ejercicio 3" sheetId="3" r:id="rId3"/>
    <sheet name="Ejercicio 4" sheetId="4" r:id="rId4"/>
    <sheet name="Ejercicio 5" sheetId="5" r:id="rId5"/>
    <sheet name="Ejercicio 6" sheetId="6" r:id="rId6"/>
    <sheet name="Ejercicio 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" l="1"/>
  <c r="C8" i="7"/>
  <c r="D8" i="7"/>
  <c r="E8" i="7"/>
  <c r="F8" i="7"/>
  <c r="G8" i="7"/>
  <c r="B8" i="7"/>
  <c r="D6" i="7"/>
  <c r="E6" i="7"/>
  <c r="F6" i="7"/>
  <c r="G6" i="7"/>
  <c r="C6" i="7"/>
  <c r="B6" i="7"/>
  <c r="B6" i="6"/>
  <c r="B5" i="6"/>
  <c r="B4" i="6"/>
  <c r="D6" i="5"/>
  <c r="D5" i="5"/>
  <c r="C6" i="4"/>
  <c r="C5" i="4"/>
  <c r="C2" i="4"/>
  <c r="B6" i="4"/>
  <c r="B5" i="4"/>
  <c r="C14" i="3"/>
  <c r="C13" i="3"/>
  <c r="C12" i="3"/>
  <c r="C11" i="3"/>
  <c r="C10" i="3"/>
  <c r="C9" i="3"/>
  <c r="C8" i="3"/>
  <c r="C6" i="3"/>
  <c r="C5" i="3"/>
  <c r="E8" i="2"/>
  <c r="E7" i="2"/>
  <c r="D7" i="2"/>
  <c r="E6" i="2"/>
  <c r="E5" i="2"/>
  <c r="E4" i="2"/>
  <c r="E3" i="2"/>
  <c r="E2" i="2"/>
  <c r="D5" i="2"/>
  <c r="D4" i="2"/>
  <c r="D3" i="2"/>
  <c r="D2" i="2"/>
  <c r="B12" i="2"/>
  <c r="B10" i="2"/>
  <c r="B11" i="2" s="1"/>
  <c r="B8" i="2"/>
  <c r="B6" i="2"/>
  <c r="B4" i="2"/>
  <c r="E6" i="1"/>
  <c r="D6" i="1"/>
  <c r="C6" i="1"/>
  <c r="D5" i="1"/>
  <c r="E5" i="1"/>
  <c r="C5" i="1"/>
</calcChain>
</file>

<file path=xl/sharedStrings.xml><?xml version="1.0" encoding="utf-8"?>
<sst xmlns="http://schemas.openxmlformats.org/spreadsheetml/2006/main" count="56" uniqueCount="46">
  <si>
    <t xml:space="preserve">Ventas </t>
  </si>
  <si>
    <t>Ventas Incrementales</t>
  </si>
  <si>
    <t>Ventas</t>
  </si>
  <si>
    <t>(CMV)</t>
  </si>
  <si>
    <t>Resultado Bruto</t>
  </si>
  <si>
    <t>(Gastos Operativos)</t>
  </si>
  <si>
    <t>EBITDA</t>
  </si>
  <si>
    <t>(Depreciaciones)</t>
  </si>
  <si>
    <t xml:space="preserve">EBIT </t>
  </si>
  <si>
    <t>(Gastos Financieros)</t>
  </si>
  <si>
    <t>Resultado Imponible</t>
  </si>
  <si>
    <t>(IIGG)</t>
  </si>
  <si>
    <t>Resultado Neto</t>
  </si>
  <si>
    <t>EBT</t>
  </si>
  <si>
    <t>NOPAT</t>
  </si>
  <si>
    <t>EERR</t>
  </si>
  <si>
    <t>Precio</t>
  </si>
  <si>
    <t>Cantidad</t>
  </si>
  <si>
    <t>Costo Unit</t>
  </si>
  <si>
    <t>(Costo Variable)</t>
  </si>
  <si>
    <t>(Costo Fijo)</t>
  </si>
  <si>
    <t>Depreciaciones</t>
  </si>
  <si>
    <t>FEO</t>
  </si>
  <si>
    <t>Cuentas por Cobrar</t>
  </si>
  <si>
    <t>Inventarios</t>
  </si>
  <si>
    <t>(Cuentas por pagar)</t>
  </si>
  <si>
    <t>CTN</t>
  </si>
  <si>
    <r>
      <rPr>
        <b/>
        <sz val="11"/>
        <color theme="0"/>
        <rFont val="Symbol"/>
        <family val="1"/>
        <charset val="2"/>
      </rPr>
      <t>D</t>
    </r>
    <r>
      <rPr>
        <b/>
        <sz val="11"/>
        <color theme="0"/>
        <rFont val="Calibri"/>
        <family val="2"/>
        <scheme val="minor"/>
      </rPr>
      <t xml:space="preserve"> CTN</t>
    </r>
  </si>
  <si>
    <t>A  FEO</t>
  </si>
  <si>
    <t>B  CAPEX</t>
  </si>
  <si>
    <t>A - B - C = FCF</t>
  </si>
  <si>
    <r>
      <t xml:space="preserve">C  </t>
    </r>
    <r>
      <rPr>
        <b/>
        <sz val="11"/>
        <color theme="0"/>
        <rFont val="Symbol"/>
        <family val="1"/>
        <charset val="2"/>
      </rPr>
      <t xml:space="preserve">D </t>
    </r>
    <r>
      <rPr>
        <b/>
        <sz val="11"/>
        <color theme="0"/>
        <rFont val="Calibri"/>
        <family val="2"/>
        <scheme val="minor"/>
      </rPr>
      <t>CTN</t>
    </r>
  </si>
  <si>
    <t>Valor de Baja</t>
  </si>
  <si>
    <t>Valor de Libro</t>
  </si>
  <si>
    <t>Resultado</t>
  </si>
  <si>
    <t>(IIGG 35%)</t>
  </si>
  <si>
    <t>Flujo a computar</t>
  </si>
  <si>
    <t>Monto por el cual vende</t>
  </si>
  <si>
    <t>Monto que tributa</t>
  </si>
  <si>
    <t>Costo Hundido</t>
  </si>
  <si>
    <t>C CAPEX</t>
  </si>
  <si>
    <t>A FEO</t>
  </si>
  <si>
    <t>(Depreciaciones ya incluídas dentro del FEO)</t>
  </si>
  <si>
    <t>WACC</t>
  </si>
  <si>
    <t>VAN</t>
  </si>
  <si>
    <r>
      <t xml:space="preserve">B 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 xml:space="preserve"> CTN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</si>
</sst>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1"/>
      <name val="Symbol"/>
      <family val="1"/>
      <charset val="2"/>
    </font>
    <font>
      <b/>
      <sz val="11"/>
      <color theme="0"/>
      <name val="Calibri"/>
      <family val="1"/>
      <charset val="2"/>
      <scheme val="minor"/>
    </font>
    <font>
      <b/>
      <sz val="11"/>
      <color theme="0"/>
      <name val="Symbol"/>
      <family val="1"/>
      <charset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44" fontId="0" fillId="0" borderId="0" xfId="1" applyFont="1"/>
    <xf numFmtId="44" fontId="0" fillId="0" borderId="0" xfId="0" applyNumberFormat="1"/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2" borderId="0" xfId="1" applyNumberFormat="1" applyFont="1" applyFill="1" applyAlignment="1">
      <alignment horizontal="center"/>
    </xf>
    <xf numFmtId="165" fontId="0" fillId="2" borderId="1" xfId="1" applyNumberFormat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3" fillId="4" borderId="0" xfId="0" applyFont="1" applyFill="1"/>
    <xf numFmtId="0" fontId="0" fillId="5" borderId="0" xfId="0" applyFill="1" applyAlignment="1">
      <alignment horizontal="center"/>
    </xf>
    <xf numFmtId="44" fontId="0" fillId="5" borderId="0" xfId="1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44" fontId="0" fillId="5" borderId="1" xfId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44" fontId="0" fillId="6" borderId="1" xfId="1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44" fontId="0" fillId="6" borderId="0" xfId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44" fontId="2" fillId="7" borderId="0" xfId="1" applyFont="1" applyFill="1" applyAlignment="1">
      <alignment horizontal="center"/>
    </xf>
    <xf numFmtId="44" fontId="3" fillId="4" borderId="0" xfId="1" applyFont="1" applyFill="1"/>
    <xf numFmtId="0" fontId="0" fillId="2" borderId="0" xfId="0" applyFill="1"/>
    <xf numFmtId="0" fontId="0" fillId="2" borderId="1" xfId="0" applyFill="1" applyBorder="1"/>
    <xf numFmtId="0" fontId="0" fillId="8" borderId="2" xfId="0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44" fontId="0" fillId="8" borderId="2" xfId="1" applyFont="1" applyFill="1" applyBorder="1" applyAlignment="1">
      <alignment horizontal="center"/>
    </xf>
    <xf numFmtId="0" fontId="2" fillId="7" borderId="0" xfId="0" applyFont="1" applyFill="1"/>
    <xf numFmtId="44" fontId="2" fillId="7" borderId="0" xfId="1" applyFont="1" applyFill="1"/>
    <xf numFmtId="0" fontId="2" fillId="7" borderId="0" xfId="0" applyFont="1" applyFill="1" applyBorder="1"/>
    <xf numFmtId="0" fontId="2" fillId="9" borderId="0" xfId="0" applyFont="1" applyFill="1"/>
    <xf numFmtId="44" fontId="2" fillId="9" borderId="0" xfId="1" applyFont="1" applyFill="1"/>
    <xf numFmtId="0" fontId="2" fillId="9" borderId="1" xfId="0" applyFont="1" applyFill="1" applyBorder="1"/>
    <xf numFmtId="44" fontId="2" fillId="9" borderId="1" xfId="1" applyFont="1" applyFill="1" applyBorder="1"/>
    <xf numFmtId="44" fontId="0" fillId="2" borderId="0" xfId="1" applyFont="1" applyFill="1"/>
    <xf numFmtId="44" fontId="0" fillId="2" borderId="1" xfId="1" applyFont="1" applyFill="1" applyBorder="1"/>
    <xf numFmtId="0" fontId="0" fillId="8" borderId="0" xfId="0" applyFill="1" applyAlignment="1">
      <alignment horizontal="center"/>
    </xf>
    <xf numFmtId="44" fontId="0" fillId="8" borderId="0" xfId="1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44" fontId="0" fillId="8" borderId="1" xfId="1" applyFon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44" fontId="2" fillId="7" borderId="0" xfId="0" applyNumberFormat="1" applyFont="1" applyFill="1"/>
    <xf numFmtId="9" fontId="0" fillId="6" borderId="0" xfId="0" applyNumberFormat="1" applyFill="1" applyAlignment="1">
      <alignment horizontal="center"/>
    </xf>
    <xf numFmtId="0" fontId="0" fillId="0" borderId="3" xfId="0" applyBorder="1" applyAlignment="1">
      <alignment horizontal="center"/>
    </xf>
    <xf numFmtId="44" fontId="0" fillId="0" borderId="4" xfId="1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6"/>
  <sheetViews>
    <sheetView topLeftCell="A2" workbookViewId="0">
      <selection activeCell="E7" sqref="E7"/>
    </sheetView>
  </sheetViews>
  <sheetFormatPr baseColWidth="10" defaultColWidth="9.140625" defaultRowHeight="15"/>
  <cols>
    <col min="1" max="1" width="20.42578125" bestFit="1" customWidth="1"/>
    <col min="2" max="5" width="14.5703125" bestFit="1" customWidth="1"/>
  </cols>
  <sheetData>
    <row r="4" spans="1:5">
      <c r="B4" s="1">
        <v>0</v>
      </c>
      <c r="C4" s="1">
        <v>1</v>
      </c>
      <c r="D4" s="1">
        <v>2</v>
      </c>
      <c r="E4" s="1">
        <v>3</v>
      </c>
    </row>
    <row r="5" spans="1:5">
      <c r="A5" t="s">
        <v>0</v>
      </c>
      <c r="B5" s="2">
        <v>1000000</v>
      </c>
      <c r="C5" s="2">
        <f>B5*1.1</f>
        <v>1100000</v>
      </c>
      <c r="D5" s="2">
        <f t="shared" ref="D5:E5" si="0">C5*1.1</f>
        <v>1210000</v>
      </c>
      <c r="E5" s="2">
        <f t="shared" si="0"/>
        <v>1331000</v>
      </c>
    </row>
    <row r="6" spans="1:5">
      <c r="A6" t="s">
        <v>1</v>
      </c>
      <c r="B6">
        <v>0</v>
      </c>
      <c r="C6" s="3">
        <f>C5-B5</f>
        <v>100000</v>
      </c>
      <c r="D6" s="3">
        <f>D5-B5</f>
        <v>210000</v>
      </c>
      <c r="E6" s="3">
        <f>E5-B5</f>
        <v>331000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7D52-3ABA-4398-86C5-0FC45C9BF127}">
  <dimension ref="A1:E12"/>
  <sheetViews>
    <sheetView workbookViewId="0">
      <selection activeCell="D13" sqref="D13"/>
    </sheetView>
  </sheetViews>
  <sheetFormatPr baseColWidth="10" defaultRowHeight="15"/>
  <cols>
    <col min="1" max="1" width="19.5703125" bestFit="1" customWidth="1"/>
    <col min="2" max="2" width="14.5703125" bestFit="1" customWidth="1"/>
    <col min="4" max="4" width="18.5703125" bestFit="1" customWidth="1"/>
    <col min="5" max="5" width="12" bestFit="1" customWidth="1"/>
  </cols>
  <sheetData>
    <row r="1" spans="1:5">
      <c r="A1" s="10" t="s">
        <v>15</v>
      </c>
      <c r="B1" s="10"/>
      <c r="D1" s="10" t="s">
        <v>14</v>
      </c>
      <c r="E1" s="10"/>
    </row>
    <row r="2" spans="1:5">
      <c r="A2" s="4" t="s">
        <v>2</v>
      </c>
      <c r="B2" s="8">
        <v>1400000</v>
      </c>
      <c r="D2" s="4" t="str">
        <f>A2</f>
        <v>Ventas</v>
      </c>
      <c r="E2" s="5">
        <f>B2</f>
        <v>1400000</v>
      </c>
    </row>
    <row r="3" spans="1:5">
      <c r="A3" s="6" t="s">
        <v>3</v>
      </c>
      <c r="B3" s="9">
        <v>-800000</v>
      </c>
      <c r="D3" s="4" t="str">
        <f t="shared" ref="D3:E8" si="0">A3</f>
        <v>(CMV)</v>
      </c>
      <c r="E3" s="4">
        <f t="shared" si="0"/>
        <v>-800000</v>
      </c>
    </row>
    <row r="4" spans="1:5">
      <c r="A4" s="4" t="s">
        <v>4</v>
      </c>
      <c r="B4" s="8">
        <f>SUM(B2:B3)</f>
        <v>600000</v>
      </c>
      <c r="D4" s="4" t="str">
        <f>A5</f>
        <v>(Gastos Operativos)</v>
      </c>
      <c r="E4" s="4">
        <f>B5</f>
        <v>-300000</v>
      </c>
    </row>
    <row r="5" spans="1:5">
      <c r="A5" s="6" t="s">
        <v>5</v>
      </c>
      <c r="B5" s="9">
        <v>-300000</v>
      </c>
      <c r="D5" s="6" t="str">
        <f>A7</f>
        <v>(Depreciaciones)</v>
      </c>
      <c r="E5" s="6">
        <f>B7</f>
        <v>-50000</v>
      </c>
    </row>
    <row r="6" spans="1:5">
      <c r="A6" s="4" t="s">
        <v>6</v>
      </c>
      <c r="B6" s="8">
        <f>SUM(B4:B5)</f>
        <v>300000</v>
      </c>
      <c r="D6" s="4" t="s">
        <v>13</v>
      </c>
      <c r="E6" s="5">
        <f>SUM(E2:E5)</f>
        <v>250000</v>
      </c>
    </row>
    <row r="7" spans="1:5">
      <c r="A7" s="6" t="s">
        <v>7</v>
      </c>
      <c r="B7" s="9">
        <v>-50000</v>
      </c>
      <c r="D7" s="6" t="str">
        <f>A11</f>
        <v>(IIGG)</v>
      </c>
      <c r="E7" s="7">
        <f>-0.35*E6</f>
        <v>-87500</v>
      </c>
    </row>
    <row r="8" spans="1:5">
      <c r="A8" s="4" t="s">
        <v>8</v>
      </c>
      <c r="B8" s="8">
        <f>SUM(B6:B7)</f>
        <v>250000</v>
      </c>
      <c r="D8" s="4" t="s">
        <v>14</v>
      </c>
      <c r="E8" s="5">
        <f>SUM(E6:E7)</f>
        <v>162500</v>
      </c>
    </row>
    <row r="9" spans="1:5">
      <c r="A9" s="6" t="s">
        <v>9</v>
      </c>
      <c r="B9" s="9">
        <v>-10000</v>
      </c>
    </row>
    <row r="10" spans="1:5">
      <c r="A10" s="4" t="s">
        <v>10</v>
      </c>
      <c r="B10" s="8">
        <f>SUM(B8:B9)</f>
        <v>240000</v>
      </c>
    </row>
    <row r="11" spans="1:5">
      <c r="A11" s="6" t="s">
        <v>11</v>
      </c>
      <c r="B11" s="9">
        <f>-0.35*B10</f>
        <v>-84000</v>
      </c>
    </row>
    <row r="12" spans="1:5">
      <c r="A12" s="4" t="s">
        <v>12</v>
      </c>
      <c r="B12" s="8">
        <f>SUM(B10:B11)</f>
        <v>156000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1F7A1-B0F4-4A4E-8D66-5D84E3AA2500}">
  <dimension ref="A1:C14"/>
  <sheetViews>
    <sheetView workbookViewId="0">
      <selection activeCell="D18" sqref="D18"/>
    </sheetView>
  </sheetViews>
  <sheetFormatPr baseColWidth="10" defaultRowHeight="15"/>
  <cols>
    <col min="1" max="1" width="18.5703125" bestFit="1" customWidth="1"/>
    <col min="3" max="3" width="13" bestFit="1" customWidth="1"/>
  </cols>
  <sheetData>
    <row r="1" spans="1:3">
      <c r="B1" s="1">
        <v>0</v>
      </c>
      <c r="C1" s="1">
        <v>1</v>
      </c>
    </row>
    <row r="2" spans="1:3">
      <c r="A2" s="11" t="s">
        <v>16</v>
      </c>
      <c r="B2" s="11"/>
      <c r="C2" s="23">
        <v>40</v>
      </c>
    </row>
    <row r="3" spans="1:3">
      <c r="A3" s="11" t="s">
        <v>17</v>
      </c>
      <c r="B3" s="11"/>
      <c r="C3" s="12">
        <v>10000</v>
      </c>
    </row>
    <row r="4" spans="1:3">
      <c r="A4" s="11" t="s">
        <v>18</v>
      </c>
      <c r="B4" s="11"/>
      <c r="C4" s="23">
        <v>20</v>
      </c>
    </row>
    <row r="5" spans="1:3">
      <c r="A5" s="13" t="s">
        <v>2</v>
      </c>
      <c r="B5" s="13"/>
      <c r="C5" s="14">
        <f>C2*C3</f>
        <v>400000</v>
      </c>
    </row>
    <row r="6" spans="1:3">
      <c r="A6" s="13" t="s">
        <v>19</v>
      </c>
      <c r="B6" s="13"/>
      <c r="C6" s="14">
        <f>-C3*C4</f>
        <v>-200000</v>
      </c>
    </row>
    <row r="7" spans="1:3">
      <c r="A7" s="13" t="s">
        <v>20</v>
      </c>
      <c r="B7" s="13"/>
      <c r="C7" s="14">
        <v>-50000</v>
      </c>
    </row>
    <row r="8" spans="1:3">
      <c r="A8" s="13" t="s">
        <v>5</v>
      </c>
      <c r="B8" s="13"/>
      <c r="C8" s="14">
        <f>-0.1*C5</f>
        <v>-40000</v>
      </c>
    </row>
    <row r="9" spans="1:3">
      <c r="A9" s="15" t="s">
        <v>7</v>
      </c>
      <c r="B9" s="15"/>
      <c r="C9" s="16">
        <f>-90000/5</f>
        <v>-18000</v>
      </c>
    </row>
    <row r="10" spans="1:3">
      <c r="A10" s="13" t="s">
        <v>13</v>
      </c>
      <c r="B10" s="13"/>
      <c r="C10" s="14">
        <f>SUM(C5:C9)</f>
        <v>92000</v>
      </c>
    </row>
    <row r="11" spans="1:3">
      <c r="A11" s="17" t="s">
        <v>11</v>
      </c>
      <c r="B11" s="17"/>
      <c r="C11" s="18">
        <f>-0.35*C10</f>
        <v>-32199.999999999996</v>
      </c>
    </row>
    <row r="12" spans="1:3">
      <c r="A12" s="19" t="s">
        <v>14</v>
      </c>
      <c r="B12" s="19"/>
      <c r="C12" s="20">
        <f>SUM(C10:C11)</f>
        <v>59800</v>
      </c>
    </row>
    <row r="13" spans="1:3">
      <c r="A13" s="17" t="s">
        <v>21</v>
      </c>
      <c r="B13" s="17"/>
      <c r="C13" s="18">
        <f>-C9</f>
        <v>18000</v>
      </c>
    </row>
    <row r="14" spans="1:3">
      <c r="A14" s="21" t="s">
        <v>22</v>
      </c>
      <c r="B14" s="21"/>
      <c r="C14" s="22">
        <f>SUM(C12:C13)</f>
        <v>77800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DF4B-AB5E-44E4-A327-0EFBED0A7704}">
  <dimension ref="A1:C6"/>
  <sheetViews>
    <sheetView workbookViewId="0">
      <selection activeCell="E5" sqref="E5"/>
    </sheetView>
  </sheetViews>
  <sheetFormatPr baseColWidth="10" defaultRowHeight="15"/>
  <cols>
    <col min="1" max="1" width="18.42578125" bestFit="1" customWidth="1"/>
    <col min="2" max="3" width="12" bestFit="1" customWidth="1"/>
  </cols>
  <sheetData>
    <row r="1" spans="1:3">
      <c r="B1" s="1">
        <v>0</v>
      </c>
      <c r="C1" s="1">
        <v>1</v>
      </c>
    </row>
    <row r="2" spans="1:3">
      <c r="A2" s="13" t="s">
        <v>23</v>
      </c>
      <c r="B2" s="14">
        <v>0</v>
      </c>
      <c r="C2" s="14">
        <f>50000</f>
        <v>50000</v>
      </c>
    </row>
    <row r="3" spans="1:3">
      <c r="A3" s="13" t="s">
        <v>24</v>
      </c>
      <c r="B3" s="14">
        <v>10000</v>
      </c>
      <c r="C3" s="14">
        <v>40000</v>
      </c>
    </row>
    <row r="4" spans="1:3">
      <c r="A4" s="15" t="s">
        <v>25</v>
      </c>
      <c r="B4" s="16">
        <v>0</v>
      </c>
      <c r="C4" s="16">
        <v>-10000</v>
      </c>
    </row>
    <row r="5" spans="1:3">
      <c r="A5" s="26" t="s">
        <v>26</v>
      </c>
      <c r="B5" s="28">
        <f>B2+B3-B4</f>
        <v>10000</v>
      </c>
      <c r="C5" s="28">
        <f>SUM(C2:C4)</f>
        <v>80000</v>
      </c>
    </row>
    <row r="6" spans="1:3">
      <c r="A6" s="27" t="s">
        <v>27</v>
      </c>
      <c r="B6" s="22">
        <f>B5</f>
        <v>10000</v>
      </c>
      <c r="C6" s="22">
        <f>C5-B5</f>
        <v>70000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5D86-DC3D-4F69-A054-BACF22E28EB8}">
  <dimension ref="A1:D6"/>
  <sheetViews>
    <sheetView workbookViewId="0">
      <selection activeCell="F4" sqref="F4"/>
    </sheetView>
  </sheetViews>
  <sheetFormatPr baseColWidth="10" defaultRowHeight="15"/>
  <cols>
    <col min="1" max="1" width="12.7109375" bestFit="1" customWidth="1"/>
    <col min="3" max="4" width="13" bestFit="1" customWidth="1"/>
  </cols>
  <sheetData>
    <row r="1" spans="1:4">
      <c r="A1" s="25"/>
      <c r="B1" s="6">
        <v>0</v>
      </c>
      <c r="C1" s="6">
        <v>1</v>
      </c>
      <c r="D1" s="6">
        <v>2</v>
      </c>
    </row>
    <row r="2" spans="1:4">
      <c r="A2" s="32" t="s">
        <v>28</v>
      </c>
      <c r="B2" s="33"/>
      <c r="C2" s="33"/>
      <c r="D2" s="33">
        <v>400000</v>
      </c>
    </row>
    <row r="3" spans="1:4">
      <c r="A3" s="32" t="s">
        <v>29</v>
      </c>
      <c r="B3" s="33"/>
      <c r="C3" s="33"/>
      <c r="D3" s="33">
        <v>50000</v>
      </c>
    </row>
    <row r="4" spans="1:4">
      <c r="A4" t="s">
        <v>26</v>
      </c>
      <c r="B4" s="2"/>
      <c r="C4" s="2">
        <v>190000</v>
      </c>
      <c r="D4" s="2">
        <v>240000</v>
      </c>
    </row>
    <row r="5" spans="1:4">
      <c r="A5" s="34" t="s">
        <v>31</v>
      </c>
      <c r="B5" s="35"/>
      <c r="C5" s="35"/>
      <c r="D5" s="35">
        <f>D4-C4</f>
        <v>50000</v>
      </c>
    </row>
    <row r="6" spans="1:4">
      <c r="A6" s="31" t="s">
        <v>30</v>
      </c>
      <c r="B6" s="30"/>
      <c r="C6" s="30"/>
      <c r="D6" s="30">
        <f>D2-D3-D5</f>
        <v>300000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9F5C-A39A-4DFC-9F1C-06151DCD1764}">
  <dimension ref="A2:C6"/>
  <sheetViews>
    <sheetView workbookViewId="0">
      <selection activeCell="F5" sqref="F5"/>
    </sheetView>
  </sheetViews>
  <sheetFormatPr baseColWidth="10" defaultRowHeight="15"/>
  <cols>
    <col min="1" max="1" width="15.7109375" bestFit="1" customWidth="1"/>
    <col min="2" max="2" width="13" bestFit="1" customWidth="1"/>
  </cols>
  <sheetData>
    <row r="2" spans="1:3">
      <c r="A2" s="24" t="s">
        <v>32</v>
      </c>
      <c r="B2" s="36">
        <v>600000</v>
      </c>
      <c r="C2" t="s">
        <v>37</v>
      </c>
    </row>
    <row r="3" spans="1:3">
      <c r="A3" s="25" t="s">
        <v>33</v>
      </c>
      <c r="B3" s="37">
        <v>400000</v>
      </c>
    </row>
    <row r="4" spans="1:3">
      <c r="A4" s="24" t="s">
        <v>34</v>
      </c>
      <c r="B4" s="36">
        <f>B2-B3</f>
        <v>200000</v>
      </c>
    </row>
    <row r="5" spans="1:3">
      <c r="A5" s="24" t="s">
        <v>35</v>
      </c>
      <c r="B5" s="36">
        <f>-0.35*B4</f>
        <v>-70000</v>
      </c>
      <c r="C5" t="s">
        <v>38</v>
      </c>
    </row>
    <row r="6" spans="1:3">
      <c r="A6" s="29" t="s">
        <v>36</v>
      </c>
      <c r="B6" s="30">
        <f>B2+B5</f>
        <v>530000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A44F-1E87-40F5-B7E1-802C7AEF020C}">
  <dimension ref="A1:H10"/>
  <sheetViews>
    <sheetView tabSelected="1" workbookViewId="0">
      <selection activeCell="D11" sqref="D11"/>
    </sheetView>
  </sheetViews>
  <sheetFormatPr baseColWidth="10" defaultRowHeight="15"/>
  <cols>
    <col min="1" max="1" width="14" bestFit="1" customWidth="1"/>
    <col min="2" max="2" width="14.5703125" bestFit="1" customWidth="1"/>
    <col min="3" max="7" width="13" bestFit="1" customWidth="1"/>
  </cols>
  <sheetData>
    <row r="1" spans="1:8" ht="15.75" thickBot="1">
      <c r="A1" s="46" t="s">
        <v>39</v>
      </c>
      <c r="B1" s="47">
        <v>500000</v>
      </c>
    </row>
    <row r="3" spans="1:8">
      <c r="B3" s="6">
        <v>0</v>
      </c>
      <c r="C3" s="6">
        <v>1</v>
      </c>
      <c r="D3" s="6">
        <v>2</v>
      </c>
      <c r="E3" s="6">
        <v>3</v>
      </c>
      <c r="F3" s="6">
        <v>4</v>
      </c>
      <c r="G3" s="6">
        <v>5</v>
      </c>
    </row>
    <row r="4" spans="1:8">
      <c r="A4" s="38" t="s">
        <v>41</v>
      </c>
      <c r="B4" s="39">
        <v>0</v>
      </c>
      <c r="C4" s="39">
        <v>350000</v>
      </c>
      <c r="D4" s="39">
        <v>350000</v>
      </c>
      <c r="E4" s="39">
        <v>350000</v>
      </c>
      <c r="F4" s="39">
        <v>350000</v>
      </c>
      <c r="G4" s="39">
        <v>350000</v>
      </c>
      <c r="H4" t="s">
        <v>42</v>
      </c>
    </row>
    <row r="5" spans="1:8">
      <c r="A5" s="13" t="s">
        <v>26</v>
      </c>
      <c r="B5" s="14">
        <v>50000</v>
      </c>
      <c r="C5" s="14">
        <v>60000</v>
      </c>
      <c r="D5" s="14">
        <v>70000</v>
      </c>
      <c r="E5" s="14">
        <v>70000</v>
      </c>
      <c r="F5" s="14">
        <v>70000</v>
      </c>
      <c r="G5" s="14">
        <v>0</v>
      </c>
    </row>
    <row r="6" spans="1:8">
      <c r="A6" s="38" t="s">
        <v>45</v>
      </c>
      <c r="B6" s="39">
        <f>B5</f>
        <v>50000</v>
      </c>
      <c r="C6" s="39">
        <f>C5-B5</f>
        <v>10000</v>
      </c>
      <c r="D6" s="39">
        <f t="shared" ref="D6:G6" si="0">D5-C5</f>
        <v>10000</v>
      </c>
      <c r="E6" s="39">
        <f t="shared" si="0"/>
        <v>0</v>
      </c>
      <c r="F6" s="39">
        <f t="shared" si="0"/>
        <v>0</v>
      </c>
      <c r="G6" s="39">
        <f t="shared" si="0"/>
        <v>-70000</v>
      </c>
    </row>
    <row r="7" spans="1:8">
      <c r="A7" s="40" t="s">
        <v>40</v>
      </c>
      <c r="B7" s="41">
        <v>1000000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</row>
    <row r="8" spans="1:8">
      <c r="A8" s="21" t="s">
        <v>30</v>
      </c>
      <c r="B8" s="22">
        <f>B4-B6-B7</f>
        <v>-1050000</v>
      </c>
      <c r="C8" s="22">
        <f t="shared" ref="C8:G8" si="1">C4-C6-C7</f>
        <v>340000</v>
      </c>
      <c r="D8" s="22">
        <f t="shared" si="1"/>
        <v>340000</v>
      </c>
      <c r="E8" s="22">
        <f t="shared" si="1"/>
        <v>350000</v>
      </c>
      <c r="F8" s="22">
        <f t="shared" si="1"/>
        <v>350000</v>
      </c>
      <c r="G8" s="22">
        <f t="shared" si="1"/>
        <v>420000</v>
      </c>
    </row>
    <row r="9" spans="1:8">
      <c r="A9" s="42" t="s">
        <v>43</v>
      </c>
      <c r="B9" s="45">
        <v>0.15</v>
      </c>
    </row>
    <row r="10" spans="1:8">
      <c r="A10" s="43" t="s">
        <v>44</v>
      </c>
      <c r="B10" s="44">
        <f>NPV(B9,C8:G8)+B8</f>
        <v>141799.56692799041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Ejercicio 1</vt:lpstr>
      <vt:lpstr>Ejercicio 2</vt:lpstr>
      <vt:lpstr>Ejercicio 3</vt:lpstr>
      <vt:lpstr>Ejercicio 4</vt:lpstr>
      <vt:lpstr>Ejercicio 5</vt:lpstr>
      <vt:lpstr>Ejercicio 6</vt:lpstr>
      <vt:lpstr>Ejercicio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Vaisman</dc:creator>
  <cp:lastModifiedBy>VAISMAN JOEL</cp:lastModifiedBy>
  <dcterms:created xsi:type="dcterms:W3CDTF">2015-06-05T18:19:34Z</dcterms:created>
  <dcterms:modified xsi:type="dcterms:W3CDTF">2024-04-20T18:38:49Z</dcterms:modified>
</cp:coreProperties>
</file>